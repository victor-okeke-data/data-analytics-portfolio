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INCE\Documents\"/>
    </mc:Choice>
  </mc:AlternateContent>
  <bookViews>
    <workbookView xWindow="0" yWindow="0" windowWidth="19200" windowHeight="9165"/>
  </bookViews>
  <sheets>
    <sheet name="Maintainance_Log" sheetId="1" r:id="rId1"/>
    <sheet name="Reference_Dat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4" i="1"/>
  <c r="F3" i="1"/>
  <c r="F2" i="1"/>
  <c r="C3" i="1"/>
  <c r="C5" i="1"/>
  <c r="E4" i="1"/>
  <c r="E5" i="1"/>
  <c r="E6" i="1"/>
  <c r="E7" i="1"/>
  <c r="E8" i="1"/>
  <c r="E3" i="1"/>
  <c r="E2" i="1"/>
  <c r="C6" i="1"/>
  <c r="C7" i="1"/>
  <c r="C8" i="1"/>
  <c r="C2" i="1"/>
  <c r="C4" i="1"/>
</calcChain>
</file>

<file path=xl/sharedStrings.xml><?xml version="1.0" encoding="utf-8"?>
<sst xmlns="http://schemas.openxmlformats.org/spreadsheetml/2006/main" count="24" uniqueCount="14">
  <si>
    <t>Equip_Code</t>
  </si>
  <si>
    <t>Equipment_Type</t>
  </si>
  <si>
    <t>Max_Operating_Hours</t>
  </si>
  <si>
    <t>PMP-101</t>
  </si>
  <si>
    <t>Centrifugal Pump</t>
  </si>
  <si>
    <t>PMP-102</t>
  </si>
  <si>
    <t>Positive Displacement Pump</t>
  </si>
  <si>
    <t>PMP-103</t>
  </si>
  <si>
    <t>Rotary Gear Pump</t>
  </si>
  <si>
    <t>HX-201</t>
  </si>
  <si>
    <t>Cryogenic Heat Exchanger</t>
  </si>
  <si>
    <t>Date</t>
  </si>
  <si>
    <t>Current_Operating_Hours</t>
  </si>
  <si>
    <t>Maintenance_Flag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</si>
</sst>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5" fontId="0" fillId="0" borderId="0" xfId="0" applyNumberForma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D16" sqref="D16"/>
    </sheetView>
  </sheetViews>
  <sheetFormatPr defaultRowHeight="15" x14ac:dyDescent="0.25"/>
  <cols>
    <col min="1" max="1" width="8.42578125" bestFit="1" customWidth="1"/>
    <col min="2" max="2" width="11.5703125" bestFit="1" customWidth="1"/>
    <col min="3" max="3" width="26.85546875" bestFit="1" customWidth="1"/>
    <col min="4" max="4" width="24.140625" bestFit="1" customWidth="1"/>
    <col min="5" max="5" width="21" bestFit="1" customWidth="1"/>
    <col min="6" max="6" width="17.42578125" bestFit="1" customWidth="1"/>
  </cols>
  <sheetData>
    <row r="1" spans="1:6" x14ac:dyDescent="0.25">
      <c r="A1" t="s">
        <v>11</v>
      </c>
      <c r="B1" t="s">
        <v>0</v>
      </c>
      <c r="C1" t="s">
        <v>1</v>
      </c>
      <c r="D1" t="s">
        <v>12</v>
      </c>
      <c r="E1" t="s">
        <v>2</v>
      </c>
      <c r="F1" t="s">
        <v>13</v>
      </c>
    </row>
    <row r="2" spans="1:6" x14ac:dyDescent="0.25">
      <c r="A2" s="1">
        <v>46296</v>
      </c>
      <c r="B2" t="s">
        <v>3</v>
      </c>
      <c r="C2" t="str">
        <f>VLOOKUP(B2,Reference_Data!A:C,2,FALSE)</f>
        <v>Centrifugal Pump</v>
      </c>
      <c r="D2">
        <v>4850</v>
      </c>
      <c r="E2">
        <f>VLOOKUP(B2,Reference_Data!A:C,3,FALSE)</f>
        <v>5000</v>
      </c>
      <c r="F2" t="str">
        <f>IF(D2&gt;=E2,"INSPECT","OK")</f>
        <v>OK</v>
      </c>
    </row>
    <row r="3" spans="1:6" x14ac:dyDescent="0.25">
      <c r="A3" s="1">
        <v>46297</v>
      </c>
      <c r="B3" t="s">
        <v>9</v>
      </c>
      <c r="C3" t="str">
        <f>VLOOKUP(B3,Reference_Data!A:C,2,FALSE)</f>
        <v>Cryogenic Heat Exchanger</v>
      </c>
      <c r="D3">
        <v>7100</v>
      </c>
      <c r="E3">
        <f>VLOOKUP(B3,Reference_Data!A:C,3,FALSE)</f>
        <v>8000</v>
      </c>
      <c r="F3" t="str">
        <f>IF(D3&gt;=E3,"INSPECT","OK")</f>
        <v>OK</v>
      </c>
    </row>
    <row r="4" spans="1:6" x14ac:dyDescent="0.25">
      <c r="A4" s="1">
        <v>46298</v>
      </c>
      <c r="B4" t="s">
        <v>5</v>
      </c>
      <c r="C4" t="str">
        <f>VLOOKUP(B4,Reference_Data!A:C,2,FALSE)</f>
        <v>Positive Displacement Pump</v>
      </c>
      <c r="D4">
        <v>4150</v>
      </c>
      <c r="E4">
        <f>VLOOKUP(B4,Reference_Data!A:C,3,FALSE)</f>
        <v>4000</v>
      </c>
      <c r="F4" t="str">
        <f>IF(D4&gt;=E4,"INSPECT","OK")</f>
        <v>INSPECT</v>
      </c>
    </row>
    <row r="5" spans="1:6" x14ac:dyDescent="0.25">
      <c r="A5" s="1">
        <v>46299</v>
      </c>
      <c r="B5" t="s">
        <v>3</v>
      </c>
      <c r="C5" t="str">
        <f>VLOOKUP(B5,Reference_Data!A:C,2,FALSE)</f>
        <v>Centrifugal Pump</v>
      </c>
      <c r="D5">
        <v>2100</v>
      </c>
      <c r="E5">
        <f>VLOOKUP(B5,Reference_Data!A:C,3,FALSE)</f>
        <v>5000</v>
      </c>
      <c r="F5" t="str">
        <f t="shared" ref="F5:F8" si="0">IF(D5&gt;=E5,"INSPECT","OK")</f>
        <v>OK</v>
      </c>
    </row>
    <row r="6" spans="1:6" x14ac:dyDescent="0.25">
      <c r="A6" s="1">
        <v>46300</v>
      </c>
      <c r="B6" t="s">
        <v>7</v>
      </c>
      <c r="C6" t="str">
        <f>VLOOKUP(B6,Reference_Data!A:C,2,FALSE)</f>
        <v>Rotary Gear Pump</v>
      </c>
      <c r="D6">
        <v>4400</v>
      </c>
      <c r="E6">
        <f>VLOOKUP(B6,Reference_Data!A:C,3,FALSE)</f>
        <v>4500</v>
      </c>
      <c r="F6" t="str">
        <f t="shared" si="0"/>
        <v>OK</v>
      </c>
    </row>
    <row r="7" spans="1:6" x14ac:dyDescent="0.25">
      <c r="A7" s="1">
        <v>46301</v>
      </c>
      <c r="B7" t="s">
        <v>9</v>
      </c>
      <c r="C7" t="str">
        <f>VLOOKUP(B7,Reference_Data!A:C,2,FALSE)</f>
        <v>Cryogenic Heat Exchanger</v>
      </c>
      <c r="D7">
        <v>8200</v>
      </c>
      <c r="E7">
        <f>VLOOKUP(B7,Reference_Data!A:C,3,FALSE)</f>
        <v>8000</v>
      </c>
      <c r="F7" t="str">
        <f t="shared" si="0"/>
        <v>INSPECT</v>
      </c>
    </row>
    <row r="8" spans="1:6" x14ac:dyDescent="0.25">
      <c r="A8" s="1">
        <v>46302</v>
      </c>
      <c r="B8" t="s">
        <v>5</v>
      </c>
      <c r="C8" t="str">
        <f>VLOOKUP(B8,Reference_Data!A:C,2,FALSE)</f>
        <v>Positive Displacement Pump</v>
      </c>
      <c r="D8">
        <v>3900</v>
      </c>
      <c r="E8">
        <f>VLOOKUP(B8,Reference_Data!A:C,3,FALSE)</f>
        <v>4000</v>
      </c>
      <c r="F8" t="str">
        <f t="shared" si="0"/>
        <v>OK</v>
      </c>
    </row>
  </sheetData>
  <conditionalFormatting sqref="F1:F1048576">
    <cfRule type="cellIs" dxfId="0" priority="2" operator="equal">
      <formula>"INSPECT"</formula>
    </cfRule>
    <cfRule type="cellIs" dxfId="1" priority="1" operator="equal">
      <formula>"OK"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2" sqref="B2"/>
    </sheetView>
  </sheetViews>
  <sheetFormatPr defaultRowHeight="15" x14ac:dyDescent="0.25"/>
  <cols>
    <col min="1" max="1" width="11.5703125" bestFit="1" customWidth="1"/>
    <col min="2" max="2" width="26.85546875" bestFit="1" customWidth="1"/>
    <col min="3" max="3" width="2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5000</v>
      </c>
    </row>
    <row r="3" spans="1:3" x14ac:dyDescent="0.25">
      <c r="A3" t="s">
        <v>5</v>
      </c>
      <c r="B3" t="s">
        <v>6</v>
      </c>
      <c r="C3">
        <v>4000</v>
      </c>
    </row>
    <row r="4" spans="1:3" x14ac:dyDescent="0.25">
      <c r="A4" t="s">
        <v>7</v>
      </c>
      <c r="B4" t="s">
        <v>8</v>
      </c>
      <c r="C4">
        <v>4500</v>
      </c>
    </row>
    <row r="5" spans="1:3" x14ac:dyDescent="0.25">
      <c r="A5" t="s">
        <v>9</v>
      </c>
      <c r="B5" t="s">
        <v>10</v>
      </c>
      <c r="C5">
        <v>8000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Maintainance_Log</vt:lpstr>
      <vt:lpstr>Reference_Data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</dc:creator>
  <cp:lastModifiedBy>PRINCE</cp:lastModifiedBy>
  <dcterms:created xsi:type="dcterms:W3CDTF">2026-10-13T23:37:13Z</dcterms:created>
  <dcterms:modified xsi:type="dcterms:W3CDTF">2026-10-14T16:51:53Z</dcterms:modified>
</cp:coreProperties>
</file>