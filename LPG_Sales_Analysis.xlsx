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RINCE\Documents\"/>
    </mc:Choice>
  </mc:AlternateContent>
  <bookViews>
    <workbookView xWindow="0" yWindow="0" windowWidth="19200" windowHeight="9165"/>
  </bookViews>
  <sheets>
    <sheet name="Sheet2" sheetId="2" r:id="rId1"/>
    <sheet name="Sheet1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<sst xmlns="http://schemas.openxmlformats.org/spreadsheetml/2006/main" count="66" uniqueCount="31">
  <si>
    <t>Order_ID</t>
  </si>
  <si>
    <t>Date</t>
  </si>
  <si>
    <t>Location</t>
  </si>
  <si>
    <t>Cylinder_Size</t>
  </si>
  <si>
    <t>Customer_Type</t>
  </si>
  <si>
    <t>Quantity</t>
  </si>
  <si>
    <t>Unit_Price</t>
  </si>
  <si>
    <t>Total_Revenue</t>
  </si>
  <si>
    <t>LPG-001</t>
  </si>
  <si>
    <t>12.5kg</t>
  </si>
  <si>
    <t>LPG-002</t>
  </si>
  <si>
    <t>50kg</t>
  </si>
  <si>
    <t>LPG-003</t>
  </si>
  <si>
    <t>Obio-Akpor</t>
  </si>
  <si>
    <t>6kg</t>
  </si>
  <si>
    <t>Residential</t>
  </si>
  <si>
    <t>LPG-004</t>
  </si>
  <si>
    <t>Port Harcourt</t>
  </si>
  <si>
    <t>LPG-005</t>
  </si>
  <si>
    <t>3kg</t>
  </si>
  <si>
    <t>LPG-006</t>
  </si>
  <si>
    <t>LPG-007</t>
  </si>
  <si>
    <t>LPG-008</t>
  </si>
  <si>
    <t>Eleme</t>
  </si>
  <si>
    <t>LPG-009</t>
  </si>
  <si>
    <t>LPG-010</t>
  </si>
  <si>
    <t>Commercial</t>
  </si>
  <si>
    <t>Row Labels</t>
  </si>
  <si>
    <t>Grand Total</t>
  </si>
  <si>
    <t>Sum of Total_Revenue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</si>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</sst>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₦-470]* #,##0.00_-;\-[$₦-470]* #,##0.00_-;_-[$₦-470]* &quot;-&quot;??_-;_-@_-"/>
    <numFmt numFmtId="168" formatCode="dd\-mmm\-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164" formatCode="_-[$₦-470]* #,##0.00_-;\-[$₦-470]* #,##0.00_-;_-[$₦-470]* &quot;-&quot;??_-;_-@_-"/>
    </dxf>
    <dxf>
      <numFmt numFmtId="164" formatCode="_-[$₦-470]* #,##0.00_-;\-[$₦-470]* #,##0.00_-;_-[$₦-470]* &quot;-&quot;??_-;_-@_-"/>
    </dxf>
    <dxf>
      <numFmt numFmtId="168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[LPG_Sales_Analysis.xlsx]Sheet2!PivotTable1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 sz="1400" b="0" i="0" u="none" strike="noStrike" baseline="0"/>
              <a:t>Revenue Generated by Each Location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Sheet2!$B$4:$B$7</c:f>
              <c:strCache>
                <c:ptCount val="3"/>
                <c:pt idx="0">
                  <c:v>Eleme</c:v>
                </c:pt>
                <c:pt idx="1">
                  <c:v>Obio-Akpor</c:v>
                </c:pt>
                <c:pt idx="2">
                  <c:v>Port Harcourt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293500</c:v>
                </c:pt>
                <c:pt idx="1">
                  <c:v>499500</c:v>
                </c:pt>
                <c:pt idx="2">
                  <c:v>459000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AF-4DC9-870D-6CE0319F516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85903"/>
        <c:axId val="129091311"/>
      </c:barChart>
      <c:catAx>
        <c:axId val="12908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1311"/>
        <c:crosses val="autoZero"/>
        <c:auto val="1"/>
        <c:lblAlgn val="ctr"/>
        <c:lblOffset val="100"/>
        <c:noMultiLvlLbl val="0"/>
      </c:catAx>
      <c:valAx>
        <c:axId val="12909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5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[LPG_Sales_Analysis.xlsx]Sheet2!PivotTable3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sz="1400" b="0" i="0" u="none" strike="noStrike" baseline="0"/>
              <a:t>Revenue Between Customer Types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Sheet2!$B$13:$B$15</c:f>
              <c:strCache>
                <c:ptCount val="2"/>
                <c:pt idx="0">
                  <c:v>Commercial</c:v>
                </c:pt>
                <c:pt idx="1">
                  <c:v>Residential</c:v>
                </c:pt>
              </c:strCache>
            </c:strRef>
          </c:cat>
          <c:val>
            <c:numRef>
              <c:f>Sheet2!$C$13:$C$15</c:f>
              <c:numCache>
                <c:formatCode>General</c:formatCode>
                <c:ptCount val="2"/>
                <c:pt idx="0">
                  <c:v>1154000</c:v>
                </c:pt>
                <c:pt idx="1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C-4AC3-8C52-E4430215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01775"/>
        <c:axId val="188903023"/>
      </c:barChart>
      <c:catAx>
        <c:axId val="18890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3023"/>
        <c:crosses val="autoZero"/>
        <c:auto val="1"/>
        <c:lblAlgn val="ctr"/>
        <c:lblOffset val="100"/>
        <c:noMultiLvlLbl val="0"/>
      </c:catAx>
      <c:valAx>
        <c:axId val="18890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[LPG_Sales_Analysis.xlsx]Sheet2!PivotTable4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</a:t>
            </a:r>
            <a:r>
              <a:rPr lang="en-US" baseline="0"/>
              <a:t> Cylinder Size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Sheet2!$B$21:$B$25</c:f>
              <c:strCache>
                <c:ptCount val="4"/>
                <c:pt idx="0">
                  <c:v>12.5kg</c:v>
                </c:pt>
                <c:pt idx="1">
                  <c:v>3kg</c:v>
                </c:pt>
                <c:pt idx="2">
                  <c:v>50kg</c:v>
                </c:pt>
                <c:pt idx="3">
                  <c:v>6kg</c:v>
                </c:pt>
              </c:strCache>
            </c:strRef>
          </c:cat>
          <c:val>
            <c:numRef>
              <c:f>Sheet2!$C$21:$C$25</c:f>
              <c:numCache>
                <c:formatCode>General</c:formatCode>
                <c:ptCount val="4"/>
                <c:pt idx="0">
                  <c:v>10</c:v>
                </c:pt>
                <c:pt idx="1">
                  <c:v>1</c:v>
                </c:pt>
                <c:pt idx="2">
                  <c:v>23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8-4EDA-B2D6-D3E3E4266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87567"/>
        <c:axId val="129086319"/>
      </c:barChart>
      <c:catAx>
        <c:axId val="12908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6319"/>
        <c:crosses val="autoZero"/>
        <c:auto val="1"/>
        <c:lblAlgn val="ctr"/>
        <c:lblOffset val="100"/>
        <c:noMultiLvlLbl val="0"/>
      </c:catAx>
      <c:valAx>
        <c:axId val="1290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269616</xdr:colOff>
      <xdr:row>1</xdr:row>
      <xdr:rowOff>44904</xdr:rowOff>
    </xdr:from>
    <xdr:to>
      <xdr:col>10</xdr:col>
      <xdr:colOff>204106</xdr:colOff>
      <xdr:row>12</xdr:row>
      <xdr:rowOff>184668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216258</xdr:colOff>
      <xdr:row>1</xdr:row>
      <xdr:rowOff>38877</xdr:rowOff>
    </xdr:from>
    <xdr:to>
      <xdr:col>18</xdr:col>
      <xdr:colOff>388775</xdr:colOff>
      <xdr:row>12</xdr:row>
      <xdr:rowOff>184668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219169</xdr:colOff>
      <xdr:row>14</xdr:row>
      <xdr:rowOff>68035</xdr:rowOff>
    </xdr:from>
    <xdr:to>
      <xdr:col>14</xdr:col>
      <xdr:colOff>108045</xdr:colOff>
      <xdr:row>25</xdr:row>
      <xdr:rowOff>38877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NCE" refreshedDate="46308.634732175924" createdVersion="6" refreshedVersion="6" minRefreshableVersion="3" recordCount="10">
  <cacheSource type="worksheet">
    <worksheetSource ref="A1:H11" sheet="Sheet1"/>
  </cacheSource>
  <cacheFields count="8">
    <cacheField name="Order_ID" numFmtId="0">
      <sharedItems/>
    </cacheField>
    <cacheField name="Date" numFmtId="168">
      <sharedItems containsSemiMixedTypes="0" containsNonDate="0" containsDate="1" containsString="0" minDate="2026-01-15T00:00:00" maxDate="2026-01-25T00:00:00" count="10"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</sharedItems>
    </cacheField>
    <cacheField name="Location" numFmtId="0">
      <sharedItems count="3">
        <s v="Port Harcourt"/>
        <s v="Eleme"/>
        <s v="Obio-Akpor"/>
      </sharedItems>
    </cacheField>
    <cacheField name="Cylinder_Size" numFmtId="0">
      <sharedItems count="4">
        <s v="12.5kg"/>
        <s v="50kg"/>
        <s v="6kg"/>
        <s v="3kg"/>
      </sharedItems>
    </cacheField>
    <cacheField name="Customer_Type" numFmtId="0">
      <sharedItems count="2">
        <s v="Residential"/>
        <s v="Commercial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164">
      <sharedItems containsSemiMixedTypes="0" containsString="0" containsNumber="1" containsInteger="1" minValue="3500" maxValue="48000"/>
    </cacheField>
    <cacheField name="Total_Revenue" numFmtId="164">
      <sharedItems containsSemiMixedTypes="0" containsString="0" containsNumber="1" containsInteger="1" minValue="3500" maxValue="4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LPG-001"/>
    <x v="0"/>
    <x v="0"/>
    <x v="0"/>
    <x v="0"/>
    <n v="2"/>
    <n v="12500"/>
    <n v="25000"/>
  </r>
  <r>
    <s v="LPG-002"/>
    <x v="1"/>
    <x v="1"/>
    <x v="1"/>
    <x v="1"/>
    <n v="5"/>
    <n v="48000"/>
    <n v="240000"/>
  </r>
  <r>
    <s v="LPG-003"/>
    <x v="2"/>
    <x v="2"/>
    <x v="2"/>
    <x v="0"/>
    <n v="1"/>
    <n v="6500"/>
    <n v="6500"/>
  </r>
  <r>
    <s v="LPG-004"/>
    <x v="3"/>
    <x v="0"/>
    <x v="0"/>
    <x v="0"/>
    <n v="3"/>
    <n v="12500"/>
    <n v="37500"/>
  </r>
  <r>
    <s v="LPG-005"/>
    <x v="4"/>
    <x v="1"/>
    <x v="3"/>
    <x v="0"/>
    <n v="1"/>
    <n v="3500"/>
    <n v="3500"/>
  </r>
  <r>
    <s v="LPG-006"/>
    <x v="5"/>
    <x v="2"/>
    <x v="1"/>
    <x v="1"/>
    <n v="10"/>
    <n v="48000"/>
    <n v="480000"/>
  </r>
  <r>
    <s v="LPG-007"/>
    <x v="6"/>
    <x v="0"/>
    <x v="0"/>
    <x v="0"/>
    <n v="1"/>
    <n v="12500"/>
    <n v="12500"/>
  </r>
  <r>
    <s v="LPG-008"/>
    <x v="7"/>
    <x v="1"/>
    <x v="0"/>
    <x v="1"/>
    <n v="4"/>
    <n v="12500"/>
    <n v="50000"/>
  </r>
  <r>
    <s v="LPG-009"/>
    <x v="8"/>
    <x v="2"/>
    <x v="2"/>
    <x v="0"/>
    <n v="2"/>
    <n v="6500"/>
    <n v="13000"/>
  </r>
  <r>
    <s v="LPG-010"/>
    <x v="9"/>
    <x v="0"/>
    <x v="1"/>
    <x v="1"/>
    <n v="8"/>
    <n v="48000"/>
    <n v="38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B20:C25" firstHeaderRow="1" firstDataRow="1" firstDataCol="1"/>
  <pivotFields count="8">
    <pivotField showAll="0"/>
    <pivotField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numFmtId="164" showAll="0"/>
    <pivotField numFmtId="16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B12:C15" firstHeaderRow="1" firstDataRow="1" firstDataCol="1"/>
  <pivotFields count="8">
    <pivotField showAll="0"/>
    <pivotField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_Revenue" fld="7" baseField="0" baseItem="0"/>
  </dataField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3:C7" firstHeaderRow="1" firstDataRow="1" firstDataCol="1"/>
  <pivotFields count="8">
    <pivotField showAll="0"/>
    <pivotField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7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1" totalsRowShown="0" headerRowDxfId="0">
  <autoFilter ref="A1:H11"/>
  <tableColumns count="8">
    <tableColumn id="1" name="Order_ID"/>
    <tableColumn id="2" name="Date" dataDxfId="3"/>
    <tableColumn id="3" name="Location"/>
    <tableColumn id="4" name="Cylinder_Size"/>
    <tableColumn id="5" name="Customer_Type"/>
    <tableColumn id="6" name="Quantity"/>
    <tableColumn id="7" name="Unit_Price" dataDxfId="2"/>
    <tableColumn id="8" name="Total_Revenue" dataDxfId="1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5"/>
  <sheetViews>
    <sheetView showGridLines="0" tabSelected="1" zoomScaleNormal="100" workbookViewId="0">
      <selection activeCell="B20" sqref="B20:C25"/>
    </sheetView>
  </sheetViews>
  <sheetFormatPr defaultRowHeight="15" x14ac:dyDescent="0.25"/>
  <cols>
    <col min="1" max="1" width="2.28515625" customWidth="1"/>
    <col min="2" max="2" width="13.42578125" customWidth="1"/>
    <col min="3" max="3" width="21.140625" bestFit="1" customWidth="1"/>
    <col min="4" max="4" width="15.42578125" bestFit="1" customWidth="1"/>
    <col min="5" max="12" width="11.28515625" bestFit="1" customWidth="1"/>
    <col min="17" max="17" width="9.140625" customWidth="1"/>
  </cols>
  <sheetData>
    <row r="3" spans="2:3" x14ac:dyDescent="0.25">
      <c r="B3" s="4" t="s">
        <v>27</v>
      </c>
      <c r="C3" t="s">
        <v>29</v>
      </c>
    </row>
    <row r="4" spans="2:3" x14ac:dyDescent="0.25">
      <c r="B4" s="5" t="s">
        <v>23</v>
      </c>
      <c r="C4" s="6">
        <v>293500</v>
      </c>
    </row>
    <row r="5" spans="2:3" x14ac:dyDescent="0.25">
      <c r="B5" s="5" t="s">
        <v>13</v>
      </c>
      <c r="C5" s="6">
        <v>499500</v>
      </c>
    </row>
    <row r="6" spans="2:3" x14ac:dyDescent="0.25">
      <c r="B6" s="5" t="s">
        <v>17</v>
      </c>
      <c r="C6" s="6">
        <v>459000</v>
      </c>
    </row>
    <row r="7" spans="2:3" x14ac:dyDescent="0.25">
      <c r="B7" s="5" t="s">
        <v>28</v>
      </c>
      <c r="C7" s="6">
        <v>1252000</v>
      </c>
    </row>
    <row r="12" spans="2:3" x14ac:dyDescent="0.25">
      <c r="B12" s="4" t="s">
        <v>27</v>
      </c>
      <c r="C12" t="s">
        <v>29</v>
      </c>
    </row>
    <row r="13" spans="2:3" x14ac:dyDescent="0.25">
      <c r="B13" s="5" t="s">
        <v>26</v>
      </c>
      <c r="C13" s="6">
        <v>1154000</v>
      </c>
    </row>
    <row r="14" spans="2:3" x14ac:dyDescent="0.25">
      <c r="B14" s="5" t="s">
        <v>15</v>
      </c>
      <c r="C14" s="6">
        <v>98000</v>
      </c>
    </row>
    <row r="15" spans="2:3" x14ac:dyDescent="0.25">
      <c r="B15" s="5" t="s">
        <v>28</v>
      </c>
      <c r="C15" s="6">
        <v>1252000</v>
      </c>
    </row>
    <row r="20" spans="2:3" x14ac:dyDescent="0.25">
      <c r="B20" s="4" t="s">
        <v>27</v>
      </c>
      <c r="C20" t="s">
        <v>30</v>
      </c>
    </row>
    <row r="21" spans="2:3" x14ac:dyDescent="0.25">
      <c r="B21" s="5" t="s">
        <v>9</v>
      </c>
      <c r="C21" s="6">
        <v>10</v>
      </c>
    </row>
    <row r="22" spans="2:3" x14ac:dyDescent="0.25">
      <c r="B22" s="5" t="s">
        <v>19</v>
      </c>
      <c r="C22" s="6">
        <v>1</v>
      </c>
    </row>
    <row r="23" spans="2:3" x14ac:dyDescent="0.25">
      <c r="B23" s="5" t="s">
        <v>11</v>
      </c>
      <c r="C23" s="6">
        <v>23</v>
      </c>
    </row>
    <row r="24" spans="2:3" x14ac:dyDescent="0.25">
      <c r="B24" s="5" t="s">
        <v>14</v>
      </c>
      <c r="C24" s="6">
        <v>3</v>
      </c>
    </row>
    <row r="25" spans="2:3" x14ac:dyDescent="0.25">
      <c r="B25" s="5" t="s">
        <v>28</v>
      </c>
      <c r="C25" s="6">
        <v>37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7" sqref="F17"/>
    </sheetView>
  </sheetViews>
  <sheetFormatPr defaultRowHeight="15" x14ac:dyDescent="0.25"/>
  <cols>
    <col min="1" max="1" width="14" bestFit="1" customWidth="1"/>
    <col min="2" max="2" width="11.28515625" style="1" bestFit="1" customWidth="1"/>
    <col min="3" max="3" width="13.140625" bestFit="1" customWidth="1"/>
    <col min="4" max="4" width="19" bestFit="1" customWidth="1"/>
    <col min="5" max="5" width="21.5703125" bestFit="1" customWidth="1"/>
    <col min="6" max="6" width="13.5703125" bestFit="1" customWidth="1"/>
    <col min="7" max="7" width="15.42578125" bestFit="1" customWidth="1"/>
    <col min="8" max="8" width="20.140625" customWidth="1"/>
  </cols>
  <sheetData>
    <row r="1" spans="1:8" s="7" customFormat="1" ht="18.75" x14ac:dyDescent="0.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t="s">
        <v>8</v>
      </c>
      <c r="B2" s="3">
        <v>46037</v>
      </c>
      <c r="C2" t="s">
        <v>17</v>
      </c>
      <c r="D2" t="s">
        <v>9</v>
      </c>
      <c r="E2" t="s">
        <v>15</v>
      </c>
      <c r="F2">
        <v>2</v>
      </c>
      <c r="G2" s="2">
        <v>12500</v>
      </c>
      <c r="H2" s="2">
        <f>F2*G2</f>
        <v>25000</v>
      </c>
    </row>
    <row r="3" spans="1:8" x14ac:dyDescent="0.25">
      <c r="A3" t="s">
        <v>10</v>
      </c>
      <c r="B3" s="3">
        <v>46038</v>
      </c>
      <c r="C3" t="s">
        <v>23</v>
      </c>
      <c r="D3" t="s">
        <v>11</v>
      </c>
      <c r="E3" t="s">
        <v>26</v>
      </c>
      <c r="F3">
        <v>5</v>
      </c>
      <c r="G3" s="2">
        <v>48000</v>
      </c>
      <c r="H3" s="2">
        <f t="shared" ref="H3:H10" si="0">F3*G3</f>
        <v>240000</v>
      </c>
    </row>
    <row r="4" spans="1:8" x14ac:dyDescent="0.25">
      <c r="A4" t="s">
        <v>12</v>
      </c>
      <c r="B4" s="3">
        <v>46039</v>
      </c>
      <c r="C4" t="s">
        <v>13</v>
      </c>
      <c r="D4" t="s">
        <v>14</v>
      </c>
      <c r="E4" t="s">
        <v>15</v>
      </c>
      <c r="F4">
        <v>1</v>
      </c>
      <c r="G4" s="2">
        <v>6500</v>
      </c>
      <c r="H4" s="2">
        <f t="shared" si="0"/>
        <v>6500</v>
      </c>
    </row>
    <row r="5" spans="1:8" x14ac:dyDescent="0.25">
      <c r="A5" t="s">
        <v>16</v>
      </c>
      <c r="B5" s="3">
        <v>46040</v>
      </c>
      <c r="C5" t="s">
        <v>17</v>
      </c>
      <c r="D5" t="s">
        <v>9</v>
      </c>
      <c r="E5" t="s">
        <v>15</v>
      </c>
      <c r="F5">
        <v>3</v>
      </c>
      <c r="G5" s="2">
        <v>12500</v>
      </c>
      <c r="H5" s="2">
        <f t="shared" si="0"/>
        <v>37500</v>
      </c>
    </row>
    <row r="6" spans="1:8" x14ac:dyDescent="0.25">
      <c r="A6" t="s">
        <v>18</v>
      </c>
      <c r="B6" s="3">
        <v>46041</v>
      </c>
      <c r="C6" t="s">
        <v>23</v>
      </c>
      <c r="D6" t="s">
        <v>19</v>
      </c>
      <c r="E6" t="s">
        <v>15</v>
      </c>
      <c r="F6">
        <v>1</v>
      </c>
      <c r="G6" s="2">
        <v>3500</v>
      </c>
      <c r="H6" s="2">
        <f t="shared" si="0"/>
        <v>3500</v>
      </c>
    </row>
    <row r="7" spans="1:8" x14ac:dyDescent="0.25">
      <c r="A7" t="s">
        <v>20</v>
      </c>
      <c r="B7" s="3">
        <v>46042</v>
      </c>
      <c r="C7" t="s">
        <v>13</v>
      </c>
      <c r="D7" t="s">
        <v>11</v>
      </c>
      <c r="E7" t="s">
        <v>26</v>
      </c>
      <c r="F7">
        <v>10</v>
      </c>
      <c r="G7" s="2">
        <v>48000</v>
      </c>
      <c r="H7" s="2">
        <f t="shared" si="0"/>
        <v>480000</v>
      </c>
    </row>
    <row r="8" spans="1:8" x14ac:dyDescent="0.25">
      <c r="A8" t="s">
        <v>21</v>
      </c>
      <c r="B8" s="3">
        <v>46043</v>
      </c>
      <c r="C8" t="s">
        <v>17</v>
      </c>
      <c r="D8" t="s">
        <v>9</v>
      </c>
      <c r="E8" t="s">
        <v>15</v>
      </c>
      <c r="F8">
        <v>1</v>
      </c>
      <c r="G8" s="2">
        <v>12500</v>
      </c>
      <c r="H8" s="2">
        <f t="shared" si="0"/>
        <v>12500</v>
      </c>
    </row>
    <row r="9" spans="1:8" x14ac:dyDescent="0.25">
      <c r="A9" t="s">
        <v>22</v>
      </c>
      <c r="B9" s="3">
        <v>46044</v>
      </c>
      <c r="C9" t="s">
        <v>23</v>
      </c>
      <c r="D9" t="s">
        <v>9</v>
      </c>
      <c r="E9" t="s">
        <v>26</v>
      </c>
      <c r="F9">
        <v>4</v>
      </c>
      <c r="G9" s="2">
        <v>12500</v>
      </c>
      <c r="H9" s="2">
        <f t="shared" si="0"/>
        <v>50000</v>
      </c>
    </row>
    <row r="10" spans="1:8" x14ac:dyDescent="0.25">
      <c r="A10" t="s">
        <v>24</v>
      </c>
      <c r="B10" s="3">
        <v>46045</v>
      </c>
      <c r="C10" t="s">
        <v>13</v>
      </c>
      <c r="D10" t="s">
        <v>14</v>
      </c>
      <c r="E10" t="s">
        <v>15</v>
      </c>
      <c r="F10">
        <v>2</v>
      </c>
      <c r="G10" s="2">
        <v>6500</v>
      </c>
      <c r="H10" s="2">
        <f t="shared" si="0"/>
        <v>13000</v>
      </c>
    </row>
    <row r="11" spans="1:8" x14ac:dyDescent="0.25">
      <c r="A11" t="s">
        <v>25</v>
      </c>
      <c r="B11" s="3">
        <v>46046</v>
      </c>
      <c r="C11" t="s">
        <v>17</v>
      </c>
      <c r="D11" t="s">
        <v>11</v>
      </c>
      <c r="E11" t="s">
        <v>26</v>
      </c>
      <c r="F11">
        <v>8</v>
      </c>
      <c r="G11" s="2">
        <v>48000</v>
      </c>
      <c r="H11" s="2">
        <f>F11*G11</f>
        <v>384000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PRINCE</cp:lastModifiedBy>
  <dcterms:created xsi:type="dcterms:W3CDTF">2026-10-13T12:39:34Z</dcterms:created>
  <dcterms:modified xsi:type="dcterms:W3CDTF">2026-10-13T16:30:29Z</dcterms:modified>
</cp:coreProperties>
</file>